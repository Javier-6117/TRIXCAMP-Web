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clau2\Downloads\"/>
    </mc:Choice>
  </mc:AlternateContent>
  <xr:revisionPtr revIDLastSave="0" documentId="13_ncr:1_{6D98DC19-2C1B-4653-B71B-76ACBC0B5D33}" xr6:coauthVersionLast="47" xr6:coauthVersionMax="47" xr10:uidLastSave="{00000000-0000-0000-0000-000000000000}"/>
  <bookViews>
    <workbookView xWindow="-120" yWindow="-120" windowWidth="20730" windowHeight="11040" activeTab="1" xr2:uid="{EC2672B6-AC1B-4333-BBAB-2F07098D012C}"/>
  </bookViews>
  <sheets>
    <sheet name="Información Sprints" sheetId="3" r:id="rId1"/>
    <sheet name="Backlog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F3" i="3" s="1"/>
  <c r="E4" i="3"/>
  <c r="F4" i="3" s="1"/>
  <c r="E5" i="3"/>
  <c r="F5" i="3" s="1"/>
  <c r="E6" i="3"/>
  <c r="F6" i="3" s="1"/>
  <c r="E7" i="3"/>
  <c r="F7" i="3" s="1"/>
  <c r="E2" i="3"/>
  <c r="F2" i="3" s="1"/>
  <c r="C9" i="1"/>
  <c r="D3" i="3"/>
  <c r="D4" i="3"/>
  <c r="D5" i="3"/>
  <c r="D6" i="3"/>
  <c r="D7" i="3"/>
  <c r="D2" i="3"/>
  <c r="C4" i="3"/>
  <c r="C5" i="3" s="1"/>
  <c r="C6" i="3" s="1"/>
  <c r="C7" i="3" s="1"/>
  <c r="C3" i="3"/>
  <c r="B3" i="3"/>
  <c r="B4" i="3" s="1"/>
  <c r="B5" i="3" s="1"/>
  <c r="B6" i="3" s="1"/>
  <c r="B7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 Francisco Esparza Arevalo</author>
  </authors>
  <commentList>
    <comment ref="A11" authorId="0" shapeId="0" xr:uid="{0CAAB075-400D-4989-9B48-7B4A82FB11E5}">
      <text>
        <r>
          <rPr>
            <b/>
            <sz val="9"/>
            <color indexed="81"/>
            <rFont val="Tahoma"/>
            <family val="2"/>
          </rPr>
          <t>Jose Francisco Esparza Arevalo:</t>
        </r>
        <r>
          <rPr>
            <sz val="9"/>
            <color indexed="81"/>
            <rFont val="Tahoma"/>
            <family val="2"/>
          </rPr>
          <t xml:space="preserve">
Identificador del requerimiento</t>
        </r>
      </text>
    </comment>
    <comment ref="B11" authorId="0" shapeId="0" xr:uid="{A833F6D3-4BBC-4C1D-93CC-7ACACB588E30}">
      <text>
        <r>
          <rPr>
            <b/>
            <sz val="9"/>
            <color indexed="81"/>
            <rFont val="Tahoma"/>
            <family val="2"/>
          </rPr>
          <t>Jose Francisco Esparza Arevalo:</t>
        </r>
        <r>
          <rPr>
            <sz val="9"/>
            <color indexed="81"/>
            <rFont val="Tahoma"/>
            <family val="2"/>
          </rPr>
          <t xml:space="preserve">
Descripción del requerimiento/historia a desarrollar
</t>
        </r>
      </text>
    </comment>
    <comment ref="C11" authorId="0" shapeId="0" xr:uid="{C311740F-3A10-4B70-8E62-1F90B104AF7D}">
      <text>
        <r>
          <rPr>
            <b/>
            <sz val="9"/>
            <color indexed="81"/>
            <rFont val="Tahoma"/>
            <family val="2"/>
          </rPr>
          <t>Jose Francisco Esparza Arevalo:</t>
        </r>
        <r>
          <rPr>
            <sz val="9"/>
            <color indexed="81"/>
            <rFont val="Tahoma"/>
            <family val="2"/>
          </rPr>
          <t xml:space="preserve">
Estatus del requerimiento/historia:
* Pendiente
* En progreso
* Terminado</t>
        </r>
      </text>
    </comment>
    <comment ref="D11" authorId="0" shapeId="0" xr:uid="{1C0BAE6A-1BA8-4725-B92B-8B410649D49F}">
      <text>
        <r>
          <rPr>
            <b/>
            <sz val="9"/>
            <color indexed="81"/>
            <rFont val="Tahoma"/>
            <family val="2"/>
          </rPr>
          <t>Jose Francisco Esparza Arevalo:</t>
        </r>
        <r>
          <rPr>
            <sz val="9"/>
            <color indexed="81"/>
            <rFont val="Tahoma"/>
            <family val="2"/>
          </rPr>
          <t xml:space="preserve">
Estimación a alto nivel del esfuerzo requerido, auque debe terminarse en el Sprint donde sea planeado</t>
        </r>
      </text>
    </comment>
    <comment ref="E11" authorId="0" shapeId="0" xr:uid="{64143031-295C-4C67-A7AF-09981B94377C}">
      <text>
        <r>
          <rPr>
            <b/>
            <sz val="9"/>
            <color indexed="81"/>
            <rFont val="Tahoma"/>
            <family val="2"/>
          </rPr>
          <t>Jose Francisco Esparza Arevalo:</t>
        </r>
        <r>
          <rPr>
            <sz val="9"/>
            <color indexed="81"/>
            <rFont val="Tahoma"/>
            <family val="2"/>
          </rPr>
          <t xml:space="preserve">
Nombre o numero de Sprint donde se esta desarrollando el requerimiento/historia</t>
        </r>
      </text>
    </comment>
    <comment ref="F11" authorId="0" shapeId="0" xr:uid="{D2EC9D92-764E-412F-8727-203581024040}">
      <text>
        <r>
          <rPr>
            <b/>
            <sz val="9"/>
            <color indexed="81"/>
            <rFont val="Tahoma"/>
            <family val="2"/>
          </rPr>
          <t>Jose Francisco Esparza Arevalo:</t>
        </r>
        <r>
          <rPr>
            <sz val="9"/>
            <color indexed="81"/>
            <rFont val="Tahoma"/>
            <family val="2"/>
          </rPr>
          <t xml:space="preserve">
* Alta
* Media
* Baja</t>
        </r>
      </text>
    </comment>
    <comment ref="G11" authorId="0" shapeId="0" xr:uid="{5367EC4E-1D5B-4E15-A465-7CA0CA0BDD3A}">
      <text>
        <r>
          <rPr>
            <b/>
            <sz val="9"/>
            <color indexed="81"/>
            <rFont val="Tahoma"/>
            <family val="2"/>
          </rPr>
          <t>Jose Francisco Esparza Arevalo:</t>
        </r>
        <r>
          <rPr>
            <sz val="9"/>
            <color indexed="81"/>
            <rFont val="Tahoma"/>
            <family val="2"/>
          </rPr>
          <t xml:space="preserve">
Nombre de la persona o personas que trabajaran en este requerimiento/historia</t>
        </r>
      </text>
    </comment>
    <comment ref="H11" authorId="0" shapeId="0" xr:uid="{FCAB415D-B13C-4784-BC6E-21E87E7C36C0}">
      <text>
        <r>
          <rPr>
            <b/>
            <sz val="9"/>
            <color indexed="81"/>
            <rFont val="Tahoma"/>
            <family val="2"/>
          </rPr>
          <t>Jose Francisco Esparza Arevalo:</t>
        </r>
        <r>
          <rPr>
            <sz val="9"/>
            <color indexed="81"/>
            <rFont val="Tahoma"/>
            <family val="2"/>
          </rPr>
          <t xml:space="preserve">
Notas relacionadas al requerimiento/historia</t>
        </r>
      </text>
    </comment>
  </commentList>
</comments>
</file>

<file path=xl/sharedStrings.xml><?xml version="1.0" encoding="utf-8"?>
<sst xmlns="http://schemas.openxmlformats.org/spreadsheetml/2006/main" count="267" uniqueCount="124">
  <si>
    <t>Identificador</t>
  </si>
  <si>
    <t>Historia / Requerimiento</t>
  </si>
  <si>
    <t>Estatus</t>
  </si>
  <si>
    <t>Esfuerzo estimado en hrs</t>
  </si>
  <si>
    <t>Sprint (Iteración)</t>
  </si>
  <si>
    <t>Prioridad</t>
  </si>
  <si>
    <t>Responsable</t>
  </si>
  <si>
    <t>Notas</t>
  </si>
  <si>
    <t>Nombre Sprint</t>
  </si>
  <si>
    <t>Fecha de Inicio</t>
  </si>
  <si>
    <t>Fecha Fin</t>
  </si>
  <si>
    <t>Total Requerimientos</t>
  </si>
  <si>
    <t>Sprint #1</t>
  </si>
  <si>
    <t>Sprint #2</t>
  </si>
  <si>
    <t>Sprint #3</t>
  </si>
  <si>
    <t>Sprint #4</t>
  </si>
  <si>
    <t>Sprint #5</t>
  </si>
  <si>
    <t>Sprint #6</t>
  </si>
  <si>
    <t>% Progreso Proyecto</t>
  </si>
  <si>
    <t>Integrantes:</t>
  </si>
  <si>
    <t>Req 01</t>
  </si>
  <si>
    <t>Pendiente</t>
  </si>
  <si>
    <t>Req 02</t>
  </si>
  <si>
    <t>Total Esfuerzo hrs</t>
  </si>
  <si>
    <t>Total Esfuerzo por Persona</t>
  </si>
  <si>
    <t xml:space="preserve">Nombre del proyecto/app: </t>
  </si>
  <si>
    <t>Req 03</t>
  </si>
  <si>
    <t>Req 04</t>
  </si>
  <si>
    <t>Req 05</t>
  </si>
  <si>
    <t>Req 06</t>
  </si>
  <si>
    <t>Alta</t>
  </si>
  <si>
    <t>Edgar Ulíses Alanís Guerrero</t>
  </si>
  <si>
    <t>Javier Adrían Frausto Alvarado</t>
  </si>
  <si>
    <t xml:space="preserve">Daniel García Rios </t>
  </si>
  <si>
    <t>Claudia Lizbeth López Ramos</t>
  </si>
  <si>
    <t>Andrés Manuel Ramírez Gómez</t>
  </si>
  <si>
    <t>Terminado</t>
  </si>
  <si>
    <t xml:space="preserve"> Como usuario quiero iniciar sesión para usar la plataforma</t>
  </si>
  <si>
    <t xml:space="preserve">Como administrador quiero ver un dashboard para gestionar el sistema </t>
  </si>
  <si>
    <t>Como usuario quiero registrarme para acceder al sistema</t>
  </si>
  <si>
    <t>Como administrador quiero crear equipos para organizar jugadores</t>
  </si>
  <si>
    <t>Como administrador quiero agregar jugadores para mantener registros</t>
  </si>
  <si>
    <t xml:space="preserve">Como administrador quiero asignar jugadores a equipos para 
organización </t>
  </si>
  <si>
    <t>Req 07</t>
  </si>
  <si>
    <t>Como administrador quiero registrar campos deportivos para gestión</t>
  </si>
  <si>
    <t>Req 08</t>
  </si>
  <si>
    <t>Req 09</t>
  </si>
  <si>
    <t>Req 10</t>
  </si>
  <si>
    <t>Como administrador quiero ver condiciones del campo para monitoreo</t>
  </si>
  <si>
    <t>Como administrador quiero agendar entrenamientos para organización</t>
  </si>
  <si>
    <t>Req 11</t>
  </si>
  <si>
    <t>Req 12</t>
  </si>
  <si>
    <t>Como administrador quiero asignar campos a entrenamientos para 
optimización</t>
  </si>
  <si>
    <t>Media</t>
  </si>
  <si>
    <t>Como usuario quiero iniciar sesión con mis credenciales web</t>
  </si>
  <si>
    <t>Como usuario quiero recuperar mi contraseña si la olvido</t>
  </si>
  <si>
    <t>Como usuario quiero mantener mi sesión activa</t>
  </si>
  <si>
    <t xml:space="preserve">Como usuario quiero ver un dashboard con información resumida </t>
  </si>
  <si>
    <t>Como usuario quiero navegar entre diferentes módulos</t>
  </si>
  <si>
    <t xml:space="preserve">Como usuario quiero actualizar los datos manualmente </t>
  </si>
  <si>
    <t>Como usuario quiero ver la lista de jugadores de mi equipo</t>
  </si>
  <si>
    <t xml:space="preserve"> Como usuario quiero monitorear condiciones del campo en tiempo real </t>
  </si>
  <si>
    <t>Como usuario quiero recibir notificaciones importantes</t>
  </si>
  <si>
    <t xml:space="preserve"> Como usuario quiero usar la app sin conexión a internet</t>
  </si>
  <si>
    <t xml:space="preserve"> Como usuario quiero personalizar mis notificaciones</t>
  </si>
  <si>
    <t>Baja</t>
  </si>
  <si>
    <t>Como jugador quiero mover mi personaje para navegar los niveles</t>
  </si>
  <si>
    <t>Como jugador quiero saltar obstáculos para avanzar en el nive</t>
  </si>
  <si>
    <t>Como jugador quiero recolectar objetos ambientales para ganar puntos</t>
  </si>
  <si>
    <t>Como jugador quiero completar el nivel 1 (Calor Extremo)</t>
  </si>
  <si>
    <t xml:space="preserve">Como jugador quiero elegir entre 5 personajes con habilidades únicas </t>
  </si>
  <si>
    <t>Como jugador quiero completar el nivel 2 (Lluvia Intensa)</t>
  </si>
  <si>
    <t>Como jugador quiero ver mi puntuación y objetos recolectados</t>
  </si>
  <si>
    <t xml:space="preserve">Como jugador quiero completar el nivel 3 (Contaminación) </t>
  </si>
  <si>
    <t>Como jugador quiero completar el nivel 4 (Deshielo)</t>
  </si>
  <si>
    <t>Como jugador quiero usar objetos especiales con efectos temporales</t>
  </si>
  <si>
    <t>Req 13</t>
  </si>
  <si>
    <t>Como jugador quiero completar el nivel 5 (Huracanes)</t>
  </si>
  <si>
    <t>Como jugador quiero ver mensajes educativos sobre cambio climático</t>
  </si>
  <si>
    <t>Como jugador quiero reiniciar niveles si pierdo</t>
  </si>
  <si>
    <t>En Progreso</t>
  </si>
  <si>
    <t>TRIXCAMP y TORNEO CLIMÁTICO</t>
  </si>
  <si>
    <t xml:space="preserve">Edgar </t>
  </si>
  <si>
    <t>Javier</t>
  </si>
  <si>
    <t>Edgar</t>
  </si>
  <si>
    <t>Daniel</t>
  </si>
  <si>
    <t xml:space="preserve">Daniel </t>
  </si>
  <si>
    <t>Andres</t>
  </si>
  <si>
    <t>Claudia</t>
  </si>
  <si>
    <t>Equipo</t>
  </si>
  <si>
    <t>Registro funcional; validar almacenamiento seguro de datos en BD.</t>
  </si>
  <si>
    <t>Flujo de login operativo; verificar manejo de errores y credenciales.</t>
  </si>
  <si>
    <t>Dashboard activo; falta agregar métricas visuales y filtros dinámicos.</t>
  </si>
  <si>
    <t>Creación correcta; se sugiere validación de duplicados.</t>
  </si>
  <si>
    <t>Proceso completado; revisar conexión con base de datos principal.</t>
  </si>
  <si>
    <t>Flujo operativo; falta sincronización automática entre tablas.</t>
  </si>
  <si>
    <t>Pendiente definir estructura de datos y formulario de alta.</t>
  </si>
  <si>
    <t>Requiere integración con sensores IoT o datos simulados.</t>
  </si>
  <si>
    <t>Pendiente diseñar interfaz de calendario y validación de horarios.</t>
  </si>
  <si>
    <t>Requiere dependencias de registro de campos y agenda.</t>
  </si>
  <si>
    <t>En pruebas; revisar compatibilidad con versión móvil.</t>
  </si>
  <si>
    <t>Pendiente configurar envío de correo de recuperación.</t>
  </si>
  <si>
    <t>Token funcional; revisar expiración segura de sesión.</t>
  </si>
  <si>
    <t>Prototipo visual funcional; falta conectar con base de datos.</t>
  </si>
  <si>
    <t>Pendiente implementación de menú de navegación lateral.</t>
  </si>
  <si>
    <t>Requiere botón de actualización y sincronización.</t>
  </si>
  <si>
    <t>Pendiente carga dinámica desde base de datos.</t>
  </si>
  <si>
    <t>Se implementará tras conexión con sensores IoT.</t>
  </si>
  <si>
    <t>Pendiente configurar servicio de notificaciones push.</t>
  </si>
  <si>
    <t>Requiere almacenamiento local (SQLite o caché).</t>
  </si>
  <si>
    <t>Pendiente desarrollar menú de configuración.</t>
  </si>
  <si>
    <t>Control funcional básico; ajustar velocidad y colisiones.</t>
  </si>
  <si>
    <t>Mecánica en prueba; requiere detección de colisiones precisa.</t>
  </si>
  <si>
    <t>Pendiente agregar sistema de puntuación.</t>
  </si>
  <si>
    <t>Nivel en diseño; faltan enemigos y efectos visuales.</t>
  </si>
  <si>
    <t>Requiere sprites y balanceo de habilidades.</t>
  </si>
  <si>
    <t>Nivel planificado; falta implementación de obstáculos acuáticos.</t>
  </si>
  <si>
    <t>Pendiente interfaz HUD y lógica de puntuación.</t>
  </si>
  <si>
    <t>Nivel en planeación; se definirán efectos de humo y basura.</t>
  </si>
  <si>
    <t>Requiere entorno visual con bloques de hielo y resbalones.</t>
  </si>
  <si>
    <t>Pendiente programación de power-ups.</t>
  </si>
  <si>
    <t>Nivel final; agregar animaciones de viento y dificultad alta.</t>
  </si>
  <si>
    <t>Incluir mensajes entre niveles o pantallas de carga.</t>
  </si>
  <si>
    <t>Pendiente agregar botón de reinicio y reinicialización de variables.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</si>
</sst>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72 Black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6" fillId="0" borderId="0" xfId="0" applyFont="1"/>
    <xf numFmtId="0" fontId="5" fillId="0" borderId="1" xfId="0" applyFont="1" applyBorder="1"/>
    <xf numFmtId="0" fontId="0" fillId="3" borderId="1" xfId="0" applyFill="1" applyBorder="1"/>
    <xf numFmtId="0" fontId="6" fillId="3" borderId="1" xfId="0" applyFont="1" applyFill="1" applyBorder="1"/>
    <xf numFmtId="0" fontId="6" fillId="3" borderId="13" xfId="0" applyFont="1" applyFill="1" applyBorder="1"/>
    <xf numFmtId="0" fontId="0" fillId="3" borderId="14" xfId="0" applyFill="1" applyBorder="1"/>
    <xf numFmtId="0" fontId="0" fillId="3" borderId="15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0" fontId="6" fillId="3" borderId="1" xfId="1" applyNumberFormat="1" applyFont="1" applyFill="1" applyBorder="1"/>
    <xf numFmtId="0" fontId="0" fillId="0" borderId="1" xfId="0" applyBorder="1"/>
    <xf numFmtId="15" fontId="0" fillId="0" borderId="1" xfId="0" applyNumberFormat="1" applyBorder="1"/>
    <xf numFmtId="0" fontId="5" fillId="3" borderId="1" xfId="0" applyFont="1" applyFill="1" applyBorder="1"/>
    <xf numFmtId="0" fontId="5" fillId="4" borderId="1" xfId="0" applyFont="1" applyFill="1" applyBorder="1"/>
    <xf numFmtId="15" fontId="5" fillId="4" borderId="1" xfId="0" applyNumberFormat="1" applyFont="1" applyFill="1" applyBorder="1"/>
    <xf numFmtId="0" fontId="0" fillId="0" borderId="0" xfId="0" applyAlignment="1">
      <alignment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9D415-9871-45C4-89EC-D5B05DD789DF}">
  <dimension ref="A1:F7"/>
  <sheetViews>
    <sheetView workbookViewId="0">
      <selection activeCell="C7" sqref="C7"/>
    </sheetView>
  </sheetViews>
  <sheetFormatPr baseColWidth="10" defaultColWidth="9.140625" defaultRowHeight="15"/>
  <cols>
    <col min="1" max="1" width="13" bestFit="1" customWidth="1"/>
    <col min="2" max="2" width="13.5703125" bestFit="1" customWidth="1"/>
    <col min="3" max="3" width="9.42578125" bestFit="1" customWidth="1"/>
    <col min="4" max="4" width="18.85546875" bestFit="1" customWidth="1"/>
    <col min="5" max="5" width="15.42578125" bestFit="1" customWidth="1"/>
    <col min="6" max="6" width="22.85546875" bestFit="1" customWidth="1"/>
  </cols>
  <sheetData>
    <row r="1" spans="1:6">
      <c r="A1" s="4" t="s">
        <v>8</v>
      </c>
      <c r="B1" s="4" t="s">
        <v>9</v>
      </c>
      <c r="C1" s="4" t="s">
        <v>10</v>
      </c>
      <c r="D1" s="4" t="s">
        <v>11</v>
      </c>
      <c r="E1" s="4" t="s">
        <v>23</v>
      </c>
      <c r="F1" s="4" t="s">
        <v>24</v>
      </c>
    </row>
    <row r="2" spans="1:6">
      <c r="A2" s="22" t="s">
        <v>12</v>
      </c>
      <c r="B2" s="23">
        <v>45929</v>
      </c>
      <c r="C2" s="23">
        <v>45940</v>
      </c>
      <c r="D2" s="5">
        <f>COUNTIF(Backlog!$E$12:$E$53,'Información Sprints'!A2)</f>
        <v>10</v>
      </c>
      <c r="E2" s="5">
        <f>SUMIF(Backlog!$E$12:$E$53,'Información Sprints'!A2,Backlog!$D$12:$D$53)</f>
        <v>45</v>
      </c>
      <c r="F2" s="5">
        <f>IF(COUNTA(Backlog!$C$2:$C$7)=0,0,E2/COUNTA(Backlog!$C$2:$C$7))</f>
        <v>9</v>
      </c>
    </row>
    <row r="3" spans="1:6">
      <c r="A3" s="22" t="s">
        <v>13</v>
      </c>
      <c r="B3" s="23">
        <f>B2+14</f>
        <v>45943</v>
      </c>
      <c r="C3" s="23">
        <f>C2+14</f>
        <v>45954</v>
      </c>
      <c r="D3" s="5">
        <f>COUNTIF(Backlog!$E$12:$E$53,'Información Sprints'!A3)</f>
        <v>9</v>
      </c>
      <c r="E3" s="5">
        <f>SUMIF(Backlog!$E$12:$E$53,'Información Sprints'!A3,Backlog!$D$12:$D$53)</f>
        <v>50</v>
      </c>
      <c r="F3" s="5">
        <f>IF(COUNTA(Backlog!$C$2:$C$7)=0,0,E3/COUNTA(Backlog!$C$2:$C$7))</f>
        <v>10</v>
      </c>
    </row>
    <row r="4" spans="1:6">
      <c r="A4" s="22" t="s">
        <v>14</v>
      </c>
      <c r="B4" s="23">
        <f t="shared" ref="B4:B6" si="0">B3+14</f>
        <v>45957</v>
      </c>
      <c r="C4" s="23">
        <f t="shared" ref="C4:C6" si="1">C3+14</f>
        <v>45968</v>
      </c>
      <c r="D4" s="5">
        <f>COUNTIF(Backlog!$E$12:$E$53,'Información Sprints'!A4)</f>
        <v>8</v>
      </c>
      <c r="E4" s="5">
        <f>SUMIF(Backlog!$E$12:$E$53,'Información Sprints'!A4,Backlog!$D$12:$D$53)</f>
        <v>43</v>
      </c>
      <c r="F4" s="5">
        <f>IF(COUNTA(Backlog!$C$2:$C$7)=0,0,E4/COUNTA(Backlog!$C$2:$C$7))</f>
        <v>8.6</v>
      </c>
    </row>
    <row r="5" spans="1:6">
      <c r="A5" s="25" t="s">
        <v>15</v>
      </c>
      <c r="B5" s="26">
        <f t="shared" si="0"/>
        <v>45971</v>
      </c>
      <c r="C5" s="26">
        <f t="shared" si="1"/>
        <v>45982</v>
      </c>
      <c r="D5" s="24">
        <f>COUNTIF(Backlog!$E$12:$E$53,'Información Sprints'!A5)</f>
        <v>7</v>
      </c>
      <c r="E5" s="24">
        <f>SUMIF(Backlog!$E$12:$E$53,'Información Sprints'!A5,Backlog!$D$12:$D$53)</f>
        <v>40</v>
      </c>
      <c r="F5" s="24">
        <f>IF(COUNTA(Backlog!$C$2:$C$7)=0,0,E5/COUNTA(Backlog!$C$2:$C$7))</f>
        <v>8</v>
      </c>
    </row>
    <row r="6" spans="1:6">
      <c r="A6" s="22" t="s">
        <v>16</v>
      </c>
      <c r="B6" s="23">
        <f t="shared" si="0"/>
        <v>45985</v>
      </c>
      <c r="C6" s="23">
        <f t="shared" si="1"/>
        <v>45996</v>
      </c>
      <c r="D6" s="5">
        <f>COUNTIF(Backlog!$E$12:$E$53,'Información Sprints'!A6)</f>
        <v>0</v>
      </c>
      <c r="E6" s="5">
        <f>SUMIF(Backlog!$E$12:$E$53,'Información Sprints'!A6,Backlog!$D$12:$D$53)</f>
        <v>0</v>
      </c>
      <c r="F6" s="5">
        <f>IF(COUNTA(Backlog!$C$2:$C$7)=0,0,E6/COUNTA(Backlog!$C$2:$C$7))</f>
        <v>0</v>
      </c>
    </row>
    <row r="7" spans="1:6">
      <c r="A7" s="22" t="s">
        <v>17</v>
      </c>
      <c r="B7" s="23">
        <f t="shared" ref="B7" si="2">B6+14</f>
        <v>45999</v>
      </c>
      <c r="C7" s="23">
        <f t="shared" ref="C7" si="3">C6+14</f>
        <v>46010</v>
      </c>
      <c r="D7" s="5">
        <f>COUNTIF(Backlog!$E$12:$E$53,'Información Sprints'!A7)</f>
        <v>0</v>
      </c>
      <c r="E7" s="5">
        <f>SUMIF(Backlog!$E$12:$E$53,'Información Sprints'!A7,Backlog!$D$12:$D$53)</f>
        <v>0</v>
      </c>
      <c r="F7" s="5">
        <f>IF(COUNTA(Backlog!$C$2:$C$7)=0,0,E7/COUNTA(Backlog!$C$2:$C$7))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BD224-0269-4C39-86AB-7245540C981E}">
  <dimension ref="A1:H53"/>
  <sheetViews>
    <sheetView showGridLines="0" tabSelected="1" topLeftCell="B1" zoomScale="78" zoomScaleNormal="78" workbookViewId="0">
      <selection activeCell="H45" sqref="H45"/>
    </sheetView>
  </sheetViews>
  <sheetFormatPr baseColWidth="10" defaultColWidth="9.140625" defaultRowHeight="15"/>
  <cols>
    <col min="1" max="1" width="11.5703125" bestFit="1" customWidth="1"/>
    <col min="2" max="2" width="32.140625" customWidth="1"/>
    <col min="3" max="3" width="10.7109375" customWidth="1"/>
    <col min="4" max="4" width="25.140625" customWidth="1"/>
    <col min="5" max="5" width="18.5703125" customWidth="1"/>
    <col min="6" max="7" width="13.5703125" customWidth="1"/>
    <col min="8" max="8" width="32.5703125" customWidth="1"/>
  </cols>
  <sheetData>
    <row r="1" spans="1:8">
      <c r="A1" s="3"/>
      <c r="B1" s="6" t="s">
        <v>25</v>
      </c>
      <c r="C1" s="10" t="s">
        <v>81</v>
      </c>
      <c r="D1" s="11"/>
      <c r="E1" s="11"/>
      <c r="F1" s="12"/>
    </row>
    <row r="2" spans="1:8">
      <c r="A2" s="3"/>
      <c r="B2" s="7" t="s">
        <v>19</v>
      </c>
      <c r="C2" s="13" t="s">
        <v>31</v>
      </c>
      <c r="D2" s="14"/>
      <c r="E2" s="14"/>
      <c r="F2" s="15"/>
    </row>
    <row r="3" spans="1:8">
      <c r="B3" s="8"/>
      <c r="C3" s="16" t="s">
        <v>32</v>
      </c>
      <c r="F3" s="17"/>
    </row>
    <row r="4" spans="1:8">
      <c r="B4" s="8"/>
      <c r="C4" s="16" t="s">
        <v>33</v>
      </c>
      <c r="F4" s="17"/>
    </row>
    <row r="5" spans="1:8">
      <c r="B5" s="8"/>
      <c r="C5" s="16" t="s">
        <v>34</v>
      </c>
      <c r="F5" s="17"/>
    </row>
    <row r="6" spans="1:8">
      <c r="B6" s="8"/>
      <c r="C6" s="16" t="s">
        <v>35</v>
      </c>
      <c r="F6" s="17"/>
    </row>
    <row r="7" spans="1:8">
      <c r="B7" s="9"/>
      <c r="C7" s="18"/>
      <c r="D7" s="19"/>
      <c r="E7" s="19"/>
      <c r="F7" s="20"/>
    </row>
    <row r="9" spans="1:8">
      <c r="A9" s="3"/>
      <c r="B9" s="6" t="s">
        <v>18</v>
      </c>
      <c r="C9" s="21">
        <f>IF(SUM(D12:D53)=0,0,SUMIF(C12:C53,"Terminado",D12:D53)/SUM(D12:D53))</f>
        <v>0.10112359550561797</v>
      </c>
    </row>
    <row r="11" spans="1:8" ht="30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</row>
    <row r="12" spans="1:8" ht="30">
      <c r="A12" s="2" t="s">
        <v>20</v>
      </c>
      <c r="B12" s="2" t="s">
        <v>39</v>
      </c>
      <c r="C12" s="2" t="s">
        <v>36</v>
      </c>
      <c r="D12" s="2">
        <v>1</v>
      </c>
      <c r="E12" s="2" t="s">
        <v>12</v>
      </c>
      <c r="F12" s="2" t="s">
        <v>30</v>
      </c>
      <c r="G12" s="2" t="s">
        <v>82</v>
      </c>
      <c r="H12" t="s">
        <v>90</v>
      </c>
    </row>
    <row r="13" spans="1:8" ht="30">
      <c r="A13" s="2" t="s">
        <v>22</v>
      </c>
      <c r="B13" s="2" t="s">
        <v>37</v>
      </c>
      <c r="C13" s="2" t="s">
        <v>36</v>
      </c>
      <c r="D13" s="2">
        <v>1</v>
      </c>
      <c r="E13" s="2" t="s">
        <v>12</v>
      </c>
      <c r="F13" s="2" t="s">
        <v>30</v>
      </c>
      <c r="G13" s="2" t="s">
        <v>82</v>
      </c>
      <c r="H13" t="s">
        <v>91</v>
      </c>
    </row>
    <row r="14" spans="1:8" ht="45">
      <c r="A14" s="2" t="s">
        <v>26</v>
      </c>
      <c r="B14" s="2" t="s">
        <v>38</v>
      </c>
      <c r="C14" s="2" t="s">
        <v>36</v>
      </c>
      <c r="D14" s="2">
        <v>3</v>
      </c>
      <c r="E14" s="2" t="s">
        <v>12</v>
      </c>
      <c r="F14" s="2" t="s">
        <v>30</v>
      </c>
      <c r="G14" s="2" t="s">
        <v>84</v>
      </c>
      <c r="H14" t="s">
        <v>92</v>
      </c>
    </row>
    <row r="15" spans="1:8" ht="30">
      <c r="A15" s="2" t="s">
        <v>27</v>
      </c>
      <c r="B15" s="2" t="s">
        <v>40</v>
      </c>
      <c r="C15" s="2" t="s">
        <v>36</v>
      </c>
      <c r="D15" s="2">
        <v>3</v>
      </c>
      <c r="E15" s="2" t="s">
        <v>13</v>
      </c>
      <c r="F15" s="2" t="s">
        <v>30</v>
      </c>
      <c r="G15" s="2" t="s">
        <v>84</v>
      </c>
      <c r="H15" s="2" t="s">
        <v>93</v>
      </c>
    </row>
    <row r="16" spans="1:8" ht="45">
      <c r="A16" s="2" t="s">
        <v>28</v>
      </c>
      <c r="B16" s="2" t="s">
        <v>41</v>
      </c>
      <c r="C16" s="2" t="s">
        <v>36</v>
      </c>
      <c r="D16" s="2">
        <v>5</v>
      </c>
      <c r="E16" s="2" t="s">
        <v>13</v>
      </c>
      <c r="F16" s="2" t="s">
        <v>30</v>
      </c>
      <c r="G16" s="2" t="s">
        <v>84</v>
      </c>
      <c r="H16" s="2" t="s">
        <v>94</v>
      </c>
    </row>
    <row r="17" spans="1:8" ht="45">
      <c r="A17" s="2" t="s">
        <v>29</v>
      </c>
      <c r="B17" s="2" t="s">
        <v>42</v>
      </c>
      <c r="C17" s="2" t="s">
        <v>36</v>
      </c>
      <c r="D17" s="2">
        <v>4</v>
      </c>
      <c r="E17" s="2" t="s">
        <v>13</v>
      </c>
      <c r="F17" s="2" t="s">
        <v>30</v>
      </c>
      <c r="G17" s="2" t="s">
        <v>83</v>
      </c>
      <c r="H17" s="2" t="s">
        <v>95</v>
      </c>
    </row>
    <row r="18" spans="1:8" ht="45">
      <c r="A18" s="2" t="s">
        <v>43</v>
      </c>
      <c r="B18" s="2" t="s">
        <v>44</v>
      </c>
      <c r="C18" s="2" t="s">
        <v>21</v>
      </c>
      <c r="D18" s="2">
        <v>4</v>
      </c>
      <c r="E18" s="2" t="s">
        <v>14</v>
      </c>
      <c r="F18" s="2" t="s">
        <v>53</v>
      </c>
      <c r="G18" s="2" t="s">
        <v>83</v>
      </c>
      <c r="H18" s="27" t="s">
        <v>96</v>
      </c>
    </row>
    <row r="19" spans="1:8" ht="45">
      <c r="A19" s="2" t="s">
        <v>45</v>
      </c>
      <c r="B19" s="2" t="s">
        <v>48</v>
      </c>
      <c r="C19" s="2" t="s">
        <v>21</v>
      </c>
      <c r="D19" s="2">
        <v>7</v>
      </c>
      <c r="E19" s="2" t="s">
        <v>14</v>
      </c>
      <c r="F19" s="2" t="s">
        <v>53</v>
      </c>
      <c r="G19" s="2" t="s">
        <v>83</v>
      </c>
      <c r="H19" s="27" t="s">
        <v>97</v>
      </c>
    </row>
    <row r="20" spans="1:8" ht="45">
      <c r="A20" s="2" t="s">
        <v>46</v>
      </c>
      <c r="B20" s="2" t="s">
        <v>49</v>
      </c>
      <c r="C20" s="2" t="s">
        <v>21</v>
      </c>
      <c r="D20" s="2">
        <v>5</v>
      </c>
      <c r="E20" s="2" t="s">
        <v>15</v>
      </c>
      <c r="F20" s="2" t="s">
        <v>53</v>
      </c>
      <c r="G20" s="2" t="s">
        <v>83</v>
      </c>
      <c r="H20" s="2" t="s">
        <v>98</v>
      </c>
    </row>
    <row r="21" spans="1:8" ht="60">
      <c r="A21" s="2" t="s">
        <v>47</v>
      </c>
      <c r="B21" s="2" t="s">
        <v>52</v>
      </c>
      <c r="C21" s="2" t="s">
        <v>21</v>
      </c>
      <c r="D21" s="2">
        <v>5</v>
      </c>
      <c r="E21" s="2" t="s">
        <v>15</v>
      </c>
      <c r="F21" s="2" t="s">
        <v>53</v>
      </c>
      <c r="G21" s="2" t="s">
        <v>83</v>
      </c>
      <c r="H21" s="27" t="s">
        <v>99</v>
      </c>
    </row>
    <row r="22" spans="1:8" ht="30">
      <c r="A22" s="2" t="s">
        <v>20</v>
      </c>
      <c r="B22" s="2" t="s">
        <v>54</v>
      </c>
      <c r="C22" s="2" t="s">
        <v>80</v>
      </c>
      <c r="D22" s="2">
        <v>4</v>
      </c>
      <c r="E22" s="2" t="s">
        <v>12</v>
      </c>
      <c r="F22" s="2" t="s">
        <v>30</v>
      </c>
      <c r="G22" s="2" t="s">
        <v>85</v>
      </c>
      <c r="H22" s="27" t="s">
        <v>100</v>
      </c>
    </row>
    <row r="23" spans="1:8" ht="30">
      <c r="A23" s="2" t="s">
        <v>22</v>
      </c>
      <c r="B23" s="2" t="s">
        <v>55</v>
      </c>
      <c r="C23" s="2" t="s">
        <v>21</v>
      </c>
      <c r="D23" s="2">
        <v>5</v>
      </c>
      <c r="E23" s="2" t="s">
        <v>12</v>
      </c>
      <c r="F23" s="2" t="s">
        <v>53</v>
      </c>
      <c r="G23" s="2" t="s">
        <v>85</v>
      </c>
      <c r="H23" s="27" t="s">
        <v>101</v>
      </c>
    </row>
    <row r="24" spans="1:8" ht="30">
      <c r="A24" s="2" t="s">
        <v>26</v>
      </c>
      <c r="B24" s="2" t="s">
        <v>56</v>
      </c>
      <c r="C24" s="2" t="s">
        <v>36</v>
      </c>
      <c r="D24" s="2">
        <v>1</v>
      </c>
      <c r="E24" s="2" t="s">
        <v>12</v>
      </c>
      <c r="F24" s="2" t="s">
        <v>53</v>
      </c>
      <c r="G24" s="2" t="s">
        <v>86</v>
      </c>
      <c r="H24" s="27" t="s">
        <v>102</v>
      </c>
    </row>
    <row r="25" spans="1:8" ht="45">
      <c r="A25" s="2" t="s">
        <v>27</v>
      </c>
      <c r="B25" s="2" t="s">
        <v>57</v>
      </c>
      <c r="C25" s="2" t="s">
        <v>80</v>
      </c>
      <c r="D25" s="2">
        <v>5</v>
      </c>
      <c r="E25" s="2" t="s">
        <v>13</v>
      </c>
      <c r="F25" s="2" t="s">
        <v>30</v>
      </c>
      <c r="G25" s="2" t="s">
        <v>86</v>
      </c>
      <c r="H25" s="27" t="s">
        <v>103</v>
      </c>
    </row>
    <row r="26" spans="1:8" ht="30">
      <c r="A26" s="2" t="s">
        <v>28</v>
      </c>
      <c r="B26" s="2" t="s">
        <v>58</v>
      </c>
      <c r="C26" s="2" t="s">
        <v>21</v>
      </c>
      <c r="D26" s="2">
        <v>8</v>
      </c>
      <c r="E26" s="2" t="s">
        <v>13</v>
      </c>
      <c r="F26" s="2" t="s">
        <v>30</v>
      </c>
      <c r="G26" s="2" t="s">
        <v>87</v>
      </c>
      <c r="H26" s="27" t="s">
        <v>104</v>
      </c>
    </row>
    <row r="27" spans="1:8" ht="30">
      <c r="A27" s="2" t="s">
        <v>29</v>
      </c>
      <c r="B27" s="2" t="s">
        <v>59</v>
      </c>
      <c r="C27" s="2" t="s">
        <v>21</v>
      </c>
      <c r="D27" s="2">
        <v>6</v>
      </c>
      <c r="E27" s="2" t="s">
        <v>13</v>
      </c>
      <c r="F27" s="2" t="s">
        <v>65</v>
      </c>
      <c r="G27" s="2" t="s">
        <v>87</v>
      </c>
      <c r="H27" s="2" t="s">
        <v>105</v>
      </c>
    </row>
    <row r="28" spans="1:8" ht="30">
      <c r="A28" s="2" t="s">
        <v>43</v>
      </c>
      <c r="B28" s="2" t="s">
        <v>60</v>
      </c>
      <c r="C28" s="2" t="s">
        <v>21</v>
      </c>
      <c r="D28" s="2">
        <v>4</v>
      </c>
      <c r="E28" s="2" t="s">
        <v>14</v>
      </c>
      <c r="F28" s="2" t="s">
        <v>30</v>
      </c>
      <c r="G28" s="2" t="s">
        <v>87</v>
      </c>
      <c r="H28" s="2" t="s">
        <v>106</v>
      </c>
    </row>
    <row r="29" spans="1:8" ht="45">
      <c r="A29" s="2" t="s">
        <v>45</v>
      </c>
      <c r="B29" s="2" t="s">
        <v>61</v>
      </c>
      <c r="C29" s="2" t="s">
        <v>21</v>
      </c>
      <c r="D29" s="2">
        <v>5</v>
      </c>
      <c r="E29" s="2" t="s">
        <v>14</v>
      </c>
      <c r="F29" s="2" t="s">
        <v>30</v>
      </c>
      <c r="G29" s="2" t="s">
        <v>87</v>
      </c>
      <c r="H29" s="27" t="s">
        <v>107</v>
      </c>
    </row>
    <row r="30" spans="1:8" ht="30">
      <c r="A30" s="2" t="s">
        <v>46</v>
      </c>
      <c r="B30" s="2" t="s">
        <v>62</v>
      </c>
      <c r="C30" s="2" t="s">
        <v>21</v>
      </c>
      <c r="D30" s="2">
        <v>6</v>
      </c>
      <c r="E30" s="2" t="s">
        <v>14</v>
      </c>
      <c r="F30" s="2" t="s">
        <v>53</v>
      </c>
      <c r="G30" s="2" t="s">
        <v>87</v>
      </c>
      <c r="H30" s="27" t="s">
        <v>108</v>
      </c>
    </row>
    <row r="31" spans="1:8" ht="30">
      <c r="A31" s="2" t="s">
        <v>47</v>
      </c>
      <c r="B31" s="2" t="s">
        <v>63</v>
      </c>
      <c r="C31" s="2" t="s">
        <v>21</v>
      </c>
      <c r="D31" s="2">
        <v>6</v>
      </c>
      <c r="E31" s="2" t="s">
        <v>15</v>
      </c>
      <c r="F31" s="2" t="s">
        <v>65</v>
      </c>
      <c r="G31" s="2" t="s">
        <v>87</v>
      </c>
      <c r="H31" s="27" t="s">
        <v>109</v>
      </c>
    </row>
    <row r="32" spans="1:8" ht="30">
      <c r="A32" s="2" t="s">
        <v>50</v>
      </c>
      <c r="B32" s="2" t="s">
        <v>64</v>
      </c>
      <c r="C32" s="2" t="s">
        <v>21</v>
      </c>
      <c r="D32" s="2">
        <v>6</v>
      </c>
      <c r="E32" s="2" t="s">
        <v>15</v>
      </c>
      <c r="F32" s="2" t="s">
        <v>65</v>
      </c>
      <c r="G32" s="2" t="s">
        <v>88</v>
      </c>
      <c r="H32" s="27" t="s">
        <v>110</v>
      </c>
    </row>
    <row r="33" spans="1:8" ht="30">
      <c r="A33" s="2" t="s">
        <v>20</v>
      </c>
      <c r="B33" s="2" t="s">
        <v>66</v>
      </c>
      <c r="C33" s="2" t="s">
        <v>80</v>
      </c>
      <c r="D33" s="2">
        <v>6</v>
      </c>
      <c r="E33" s="2" t="s">
        <v>12</v>
      </c>
      <c r="F33" s="2" t="s">
        <v>30</v>
      </c>
      <c r="G33" s="2" t="s">
        <v>88</v>
      </c>
      <c r="H33" s="2" t="s">
        <v>111</v>
      </c>
    </row>
    <row r="34" spans="1:8" ht="30">
      <c r="A34" s="2" t="s">
        <v>22</v>
      </c>
      <c r="B34" s="2" t="s">
        <v>67</v>
      </c>
      <c r="C34" s="2" t="s">
        <v>80</v>
      </c>
      <c r="D34" s="2">
        <v>8</v>
      </c>
      <c r="E34" s="2" t="s">
        <v>12</v>
      </c>
      <c r="F34" s="2" t="s">
        <v>30</v>
      </c>
      <c r="G34" s="2" t="s">
        <v>88</v>
      </c>
      <c r="H34" s="2" t="s">
        <v>112</v>
      </c>
    </row>
    <row r="35" spans="1:8" ht="45">
      <c r="A35" s="2" t="s">
        <v>26</v>
      </c>
      <c r="B35" s="2" t="s">
        <v>68</v>
      </c>
      <c r="C35" s="2" t="s">
        <v>21</v>
      </c>
      <c r="D35" s="2">
        <v>8</v>
      </c>
      <c r="E35" s="2" t="s">
        <v>12</v>
      </c>
      <c r="F35" s="2" t="s">
        <v>30</v>
      </c>
      <c r="G35" s="2" t="s">
        <v>88</v>
      </c>
      <c r="H35" s="2" t="s">
        <v>113</v>
      </c>
    </row>
    <row r="36" spans="1:8" ht="30">
      <c r="A36" s="2" t="s">
        <v>27</v>
      </c>
      <c r="B36" s="2" t="s">
        <v>69</v>
      </c>
      <c r="C36" s="2" t="s">
        <v>21</v>
      </c>
      <c r="D36" s="2">
        <v>8</v>
      </c>
      <c r="E36" s="2" t="s">
        <v>12</v>
      </c>
      <c r="F36" s="2" t="s">
        <v>30</v>
      </c>
      <c r="G36" s="2" t="s">
        <v>89</v>
      </c>
      <c r="H36" s="2" t="s">
        <v>114</v>
      </c>
    </row>
    <row r="37" spans="1:8" ht="45">
      <c r="A37" s="2" t="s">
        <v>28</v>
      </c>
      <c r="B37" s="2" t="s">
        <v>70</v>
      </c>
      <c r="C37" s="2" t="s">
        <v>21</v>
      </c>
      <c r="D37" s="2">
        <v>5</v>
      </c>
      <c r="E37" s="2" t="s">
        <v>13</v>
      </c>
      <c r="F37" s="2" t="s">
        <v>30</v>
      </c>
      <c r="G37" s="2" t="s">
        <v>88</v>
      </c>
      <c r="H37" s="27" t="s">
        <v>115</v>
      </c>
    </row>
    <row r="38" spans="1:8" ht="45">
      <c r="A38" s="2" t="s">
        <v>29</v>
      </c>
      <c r="B38" s="2" t="s">
        <v>71</v>
      </c>
      <c r="C38" s="2" t="s">
        <v>21</v>
      </c>
      <c r="D38" s="2">
        <v>8</v>
      </c>
      <c r="E38" s="2" t="s">
        <v>13</v>
      </c>
      <c r="F38" s="2" t="s">
        <v>30</v>
      </c>
      <c r="G38" s="2" t="s">
        <v>89</v>
      </c>
      <c r="H38" s="27" t="s">
        <v>116</v>
      </c>
    </row>
    <row r="39" spans="1:8" ht="30">
      <c r="A39" s="2" t="s">
        <v>43</v>
      </c>
      <c r="B39" s="2" t="s">
        <v>72</v>
      </c>
      <c r="C39" s="2" t="s">
        <v>21</v>
      </c>
      <c r="D39" s="2">
        <v>6</v>
      </c>
      <c r="E39" s="2" t="s">
        <v>13</v>
      </c>
      <c r="F39" s="2" t="s">
        <v>53</v>
      </c>
      <c r="G39" s="2" t="s">
        <v>88</v>
      </c>
      <c r="H39" s="2" t="s">
        <v>117</v>
      </c>
    </row>
    <row r="40" spans="1:8" ht="30">
      <c r="A40" s="2" t="s">
        <v>45</v>
      </c>
      <c r="B40" s="2" t="s">
        <v>73</v>
      </c>
      <c r="C40" s="2" t="s">
        <v>21</v>
      </c>
      <c r="D40" s="2">
        <v>5</v>
      </c>
      <c r="E40" s="2" t="s">
        <v>14</v>
      </c>
      <c r="F40" s="2" t="s">
        <v>30</v>
      </c>
      <c r="G40" s="2" t="s">
        <v>89</v>
      </c>
      <c r="H40" s="2" t="s">
        <v>118</v>
      </c>
    </row>
    <row r="41" spans="1:8" ht="30">
      <c r="A41" s="2" t="s">
        <v>46</v>
      </c>
      <c r="B41" s="2" t="s">
        <v>74</v>
      </c>
      <c r="C41" s="2" t="s">
        <v>21</v>
      </c>
      <c r="D41" s="2">
        <v>7</v>
      </c>
      <c r="E41" s="2" t="s">
        <v>14</v>
      </c>
      <c r="F41" s="2" t="s">
        <v>30</v>
      </c>
      <c r="G41" s="2" t="s">
        <v>89</v>
      </c>
      <c r="H41" s="27" t="s">
        <v>119</v>
      </c>
    </row>
    <row r="42" spans="1:8" ht="30">
      <c r="A42" s="2" t="s">
        <v>47</v>
      </c>
      <c r="B42" s="2" t="s">
        <v>75</v>
      </c>
      <c r="C42" s="2" t="s">
        <v>21</v>
      </c>
      <c r="D42" s="2">
        <v>5</v>
      </c>
      <c r="E42" s="2" t="s">
        <v>14</v>
      </c>
      <c r="F42" s="2" t="s">
        <v>53</v>
      </c>
      <c r="G42" s="2" t="s">
        <v>89</v>
      </c>
      <c r="H42" s="27" t="s">
        <v>120</v>
      </c>
    </row>
    <row r="43" spans="1:8" ht="30">
      <c r="A43" s="2" t="s">
        <v>50</v>
      </c>
      <c r="B43" s="2" t="s">
        <v>77</v>
      </c>
      <c r="C43" s="2" t="s">
        <v>21</v>
      </c>
      <c r="D43" s="2">
        <v>8</v>
      </c>
      <c r="E43" s="2" t="s">
        <v>15</v>
      </c>
      <c r="F43" s="2" t="s">
        <v>30</v>
      </c>
      <c r="G43" s="2" t="s">
        <v>89</v>
      </c>
      <c r="H43" s="27" t="s">
        <v>121</v>
      </c>
    </row>
    <row r="44" spans="1:8" ht="45">
      <c r="A44" s="2" t="s">
        <v>51</v>
      </c>
      <c r="B44" s="2" t="s">
        <v>78</v>
      </c>
      <c r="C44" s="2" t="s">
        <v>21</v>
      </c>
      <c r="D44" s="2">
        <v>4</v>
      </c>
      <c r="E44" s="2" t="s">
        <v>15</v>
      </c>
      <c r="F44" s="2" t="s">
        <v>53</v>
      </c>
      <c r="G44" s="2" t="s">
        <v>88</v>
      </c>
      <c r="H44" s="27" t="s">
        <v>122</v>
      </c>
    </row>
    <row r="45" spans="1:8" ht="45">
      <c r="A45" s="2" t="s">
        <v>76</v>
      </c>
      <c r="B45" s="2" t="s">
        <v>79</v>
      </c>
      <c r="C45" s="2" t="s">
        <v>21</v>
      </c>
      <c r="D45" s="2">
        <v>6</v>
      </c>
      <c r="E45" s="2" t="s">
        <v>15</v>
      </c>
      <c r="F45" s="2" t="s">
        <v>53</v>
      </c>
      <c r="G45" s="2" t="s">
        <v>88</v>
      </c>
      <c r="H45" s="27" t="s">
        <v>123</v>
      </c>
    </row>
    <row r="46" spans="1:8">
      <c r="A46" s="2"/>
      <c r="B46" s="2"/>
      <c r="C46" s="2"/>
      <c r="D46" s="2"/>
      <c r="E46" s="2"/>
      <c r="F46" s="2"/>
      <c r="G46" s="2"/>
      <c r="H46" s="2"/>
    </row>
    <row r="47" spans="1:8">
      <c r="A47" s="2"/>
      <c r="B47" s="2"/>
      <c r="C47" s="2"/>
      <c r="D47" s="2"/>
      <c r="E47" s="2"/>
      <c r="F47" s="2"/>
      <c r="G47" s="2"/>
      <c r="H47" s="2"/>
    </row>
    <row r="48" spans="1:8">
      <c r="A48" s="2"/>
      <c r="B48" s="2"/>
      <c r="C48" s="2"/>
      <c r="D48" s="2"/>
      <c r="E48" s="2"/>
      <c r="F48" s="2"/>
      <c r="G48" s="2"/>
      <c r="H48" s="2"/>
    </row>
    <row r="49" spans="1:8">
      <c r="A49" s="2"/>
      <c r="B49" s="2"/>
      <c r="C49" s="2"/>
      <c r="D49" s="2"/>
      <c r="E49" s="2"/>
      <c r="F49" s="2"/>
      <c r="G49" s="2"/>
      <c r="H49" s="2"/>
    </row>
    <row r="50" spans="1:8">
      <c r="A50" s="2"/>
      <c r="B50" s="2"/>
      <c r="C50" s="2"/>
      <c r="D50" s="2"/>
      <c r="E50" s="2"/>
      <c r="F50" s="2"/>
      <c r="G50" s="2"/>
      <c r="H50" s="2"/>
    </row>
    <row r="51" spans="1:8">
      <c r="A51" s="2"/>
      <c r="B51" s="2"/>
      <c r="C51" s="2"/>
      <c r="D51" s="2"/>
      <c r="E51" s="2"/>
      <c r="F51" s="2"/>
      <c r="G51" s="2"/>
      <c r="H51" s="2"/>
    </row>
    <row r="52" spans="1:8">
      <c r="A52" s="2"/>
      <c r="B52" s="2"/>
      <c r="C52" s="2"/>
      <c r="D52" s="2"/>
      <c r="E52" s="2"/>
      <c r="F52" s="2"/>
      <c r="G52" s="2"/>
      <c r="H52" s="2"/>
    </row>
    <row r="53" spans="1:8">
      <c r="A53" s="2"/>
      <c r="B53" s="2"/>
      <c r="C53" s="2"/>
      <c r="D53" s="2"/>
      <c r="E53" s="2"/>
      <c r="F53" s="2"/>
      <c r="G53" s="2"/>
      <c r="H53" s="2"/>
    </row>
  </sheetData>
  <phoneticPr fontId="7" type="noConversion"/>
  <dataValidations count="2">
    <dataValidation type="list" allowBlank="1" showInputMessage="1" showErrorMessage="1" sqref="C12:C53" xr:uid="{1D1E2315-7DF1-420F-AED1-C52F5848344C}">
      <formula1>"Pendiente, En Progreso, Terminado, Cancelado"</formula1>
    </dataValidation>
    <dataValidation type="list" allowBlank="1" showInputMessage="1" showErrorMessage="1" sqref="F12:F53" xr:uid="{8D027888-B935-48EB-A350-CD73BD6C5B9C}">
      <formula1>"Alta, Media, Baja"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02C88D0-8493-4F4B-986E-7B2238381A10}">
          <x14:formula1>
            <xm:f>'Información Sprints'!$A$2:$A$7</xm:f>
          </x14:formula1>
          <xm:sqref>E12:E53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a5113ba7-9493-492a-ae20-0c6be6001d7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85DE9B41D7D4642A56207737280DFAF" ma:contentTypeVersion="1" ma:contentTypeDescription="Crear nuevo documento." ma:contentTypeScope="" ma:versionID="962a778b8004c1d1a4b316024530a144">
  <xsd:schema xmlns:xsd="http://www.w3.org/2001/XMLSchema" xmlns:xs="http://www.w3.org/2001/XMLSchema" xmlns:p="http://schemas.microsoft.com/office/2006/metadata/properties" xmlns:ns2="a5113ba7-9493-492a-ae20-0c6be6001d78" targetNamespace="http://schemas.microsoft.com/office/2006/metadata/properties" ma:root="true" ma:fieldsID="1ca02c4f259aca07e8b305d4051d988e" ns2:_="">
    <xsd:import namespace="a5113ba7-9493-492a-ae20-0c6be6001d78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113ba7-9493-492a-ae20-0c6be6001d78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CB366A-4C18-458D-BA00-5CE9F81A5D3C}">
  <ds:schemaRefs>
    <ds:schemaRef ds:uri="http://schemas.microsoft.com/office/2006/metadata/properties"/>
    <ds:schemaRef ds:uri="http://schemas.microsoft.com/office/infopath/2007/PartnerControls"/>
    <ds:schemaRef ds:uri="213b2d84-3d9b-4b3f-804d-aac06d647ac8"/>
    <ds:schemaRef ds:uri="a5113ba7-9493-492a-ae20-0c6be6001d78"/>
  </ds:schemaRefs>
</ds:datastoreItem>
</file>

<file path=customXml/itemProps2.xml><?xml version="1.0" encoding="utf-8"?>
<ds:datastoreItem xmlns:ds="http://schemas.openxmlformats.org/officeDocument/2006/customXml" ds:itemID="{1A0F4325-AF1A-42BB-B7E4-A8F1B1AA6E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2E3E55-5977-4EE3-85A9-BF20F96937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113ba7-9493-492a-ae20-0c6be6001d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Información Sprints</vt:lpstr>
      <vt:lpstr>Backlog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Francisco Esparza Arevalo</dc:creator>
  <cp:keywords/>
  <dc:description/>
  <cp:lastModifiedBy>Claudia Lizbeth Lopez  Ramos</cp:lastModifiedBy>
  <cp:revision/>
  <dcterms:created xsi:type="dcterms:W3CDTF">2024-06-10T23:39:25Z</dcterms:created>
  <dcterms:modified xsi:type="dcterms:W3CDTF">2025-10-09T03:39:54Z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0x010100685DE9B41D7D4642A56207737280DFAF</vt:lpwstr>
  </property>
  <property fmtid="{D5CDD505-2E9C-101B-9397-08002B2CF9AE}" pid="3" name="Order">
    <vt:r8>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